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kjulíkan" state="visible" r:id="rId4"/>
  </sheets>
  <calcPr calcId="171027"/>
</workbook>
</file>

<file path=xl/sharedStrings.xml><?xml version="1.0" encoding="utf-8"?>
<sst xmlns="http://schemas.openxmlformats.org/spreadsheetml/2006/main" count="47" uniqueCount="47">
  <si>
    <t>Tímaverk — tekju- og framlegðarlíkan</t>
  </si>
  <si>
    <t>Bláu reitirnir eru forsendur sem þú breytir. Allt annað reiknast sjálfkrafa. Verð án VSK.</t>
  </si>
  <si>
    <t>FORSENDUR</t>
  </si>
  <si>
    <t>Fjöldi fyrirtækja</t>
  </si>
  <si>
    <t>Meðalfjöldi starfsmanna á fyrirtæki</t>
  </si>
  <si>
    <t>Meðalfjöldi bíla á fyrirtæki</t>
  </si>
  <si>
    <t>Hlutfall starfsmanna á Plús-pakka</t>
  </si>
  <si>
    <t>Hlutfall bíla með faratæki-búnaði</t>
  </si>
  <si>
    <t>VERÐ (kr/mán, án VSK)</t>
  </si>
  <si>
    <t>Grunnur — per starfsmann</t>
  </si>
  <si>
    <t>Plús — per starfsmann</t>
  </si>
  <si>
    <t>Faratæki hugbúnaður — per bíl</t>
  </si>
  <si>
    <t>Vélbúnaðar-leiga — per bíl</t>
  </si>
  <si>
    <t>Eða selt eitt sinn ~7.900 kr</t>
  </si>
  <si>
    <t>KOSTNAÐUR (þinn)</t>
  </si>
  <si>
    <t>SIM/gagnamagn — per bíl/mán</t>
  </si>
  <si>
    <t>Vélbúnaður — innkaupsverð per tæki</t>
  </si>
  <si>
    <t>Líftími tækis (mán)</t>
  </si>
  <si>
    <t>Innviðir (þjónar/DB/Traccar) — fast/mán</t>
  </si>
  <si>
    <t>Stuðningur/þjónusta — per fyrirtæki/mán</t>
  </si>
  <si>
    <t>Greiðslugjöld (% af tekjum)</t>
  </si>
  <si>
    <t>REIKNAÐ UMFANG</t>
  </si>
  <si>
    <t>Heildarfjöldi starfsmanna</t>
  </si>
  <si>
    <t>Heildarfjöldi bíla</t>
  </si>
  <si>
    <t>Bílar með faratæki</t>
  </si>
  <si>
    <t>Blandað verð per starfsmann</t>
  </si>
  <si>
    <t>TEKJUR / MÁNUÐI</t>
  </si>
  <si>
    <t>Tímaskráning</t>
  </si>
  <si>
    <t>Faratæki — hugbúnaður</t>
  </si>
  <si>
    <t>Faratæki — vélbúnaðar-leiga</t>
  </si>
  <si>
    <t>HEILDARTEKJUR (MRR)</t>
  </si>
  <si>
    <t>Árstekjur (ARR)</t>
  </si>
  <si>
    <t>KOSTNAÐUR / MÁNUÐI</t>
  </si>
  <si>
    <t>SIM/gagnamagn</t>
  </si>
  <si>
    <t>Vélbúnaðar-afskrift</t>
  </si>
  <si>
    <t>Innviðir</t>
  </si>
  <si>
    <t>Stuðningur</t>
  </si>
  <si>
    <t>Greiðslugjöld</t>
  </si>
  <si>
    <t>HEILDARKOSTNAÐUR</t>
  </si>
  <si>
    <t>FRAMLEGÐ</t>
  </si>
  <si>
    <t>Framlegð (kr/mán)</t>
  </si>
  <si>
    <t>Framlegð (%)</t>
  </si>
  <si>
    <t>Framlegð (kr/ár)</t>
  </si>
  <si>
    <t>Á HVERT FYRIRTÆKI (meðaltal)</t>
  </si>
  <si>
    <t>Tekjur á fyrirtæki/mán</t>
  </si>
  <si>
    <t>Framlegð á fyrirtæki/mán</t>
  </si>
  <si>
    <t>Skýring: Vélbúnaður er borinn af viðskiptavini (leiga eða kaup) — hér reiknað sem leigutekjur að frádreginni afskrift. VSK (24%) er ekki innifalinn. Tölurnar eru tillögur til að fínstilla.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</si>
</sst>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kr&quot;"/>
  </numFmts>
  <fonts count="7" x14ac:knownFonts="1">
    <font>
      <color theme="1"/>
      <family val="2"/>
      <scheme val="minor"/>
      <sz val="11"/>
      <name val="Calibri"/>
    </font>
    <font>
      <b/>
      <color rgb="FF0F172A"/>
      <sz val="16"/>
    </font>
    <font>
      <i/>
      <color rgb="FF64748B"/>
      <sz val="10"/>
    </font>
    <font>
      <b/>
      <color rgb="FFFFFFFF"/>
    </font>
    <font/>
    <font>
      <b/>
    </font>
    <font>
      <color rgb="FF64748B"/>
      <sz val="10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3" fontId="5" fillId="3" borderId="1" xfId="0" applyNumberFormat="1" applyFont="1" applyFill="1" applyBorder="1" applyAlignment="1">
      <alignment horizontal="right"/>
    </xf>
    <xf numFmtId="9" fontId="5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0" fontId="6" fillId="0" borderId="0" xfId="0" applyFont="1"/>
    <xf numFmtId="3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5" fillId="4" borderId="0" xfId="0" applyNumberFormat="1" applyFont="1" applyFill="1" applyAlignment="1">
      <alignment horizontal="right"/>
    </xf>
    <xf numFmtId="9" fontId="5" fillId="4" borderId="0" xfId="0" applyNumberFormat="1" applyFont="1" applyFill="1" applyAlignment="1">
      <alignment horizontal="right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18" customWidth="1"/>
    <col min="3" max="3" width="46" customWidth="1"/>
  </cols>
  <sheetData>
    <row r="1" ht="2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ht="20" customHeight="1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50</v>
      </c>
    </row>
    <row r="6" spans="1:2" x14ac:dyDescent="0.25">
      <c r="A6" s="4" t="s">
        <v>4</v>
      </c>
      <c r="B6" s="5">
        <v>40</v>
      </c>
    </row>
    <row r="7" spans="1:2" x14ac:dyDescent="0.25">
      <c r="A7" s="4" t="s">
        <v>5</v>
      </c>
      <c r="B7" s="5">
        <v>40</v>
      </c>
    </row>
    <row r="8" spans="1:2" x14ac:dyDescent="0.25">
      <c r="A8" s="4" t="s">
        <v>6</v>
      </c>
      <c r="B8" s="6">
        <v>0.6</v>
      </c>
    </row>
    <row r="9" spans="1:2" x14ac:dyDescent="0.25">
      <c r="A9" s="4" t="s">
        <v>7</v>
      </c>
      <c r="B9" s="6">
        <v>0.8</v>
      </c>
    </row>
    <row r="11" ht="20" customHeight="1" spans="1:3" x14ac:dyDescent="0.25">
      <c r="A11" s="3" t="s">
        <v>8</v>
      </c>
      <c r="B11" s="3"/>
      <c r="C11" s="3"/>
    </row>
    <row r="12" spans="1:2" x14ac:dyDescent="0.25">
      <c r="A12" s="4" t="s">
        <v>9</v>
      </c>
      <c r="B12" s="7">
        <v>1290</v>
      </c>
    </row>
    <row r="13" spans="1:2" x14ac:dyDescent="0.25">
      <c r="A13" s="4" t="s">
        <v>10</v>
      </c>
      <c r="B13" s="7">
        <v>1890</v>
      </c>
    </row>
    <row r="14" spans="1:2" x14ac:dyDescent="0.25">
      <c r="A14" s="4" t="s">
        <v>11</v>
      </c>
      <c r="B14" s="7">
        <v>1990</v>
      </c>
    </row>
    <row r="15" spans="1:3" x14ac:dyDescent="0.25">
      <c r="A15" s="4" t="s">
        <v>12</v>
      </c>
      <c r="B15" s="7">
        <v>690</v>
      </c>
      <c r="C15" s="8" t="s">
        <v>13</v>
      </c>
    </row>
    <row r="17" ht="20" customHeight="1" spans="1:3" x14ac:dyDescent="0.25">
      <c r="A17" s="3" t="s">
        <v>14</v>
      </c>
      <c r="B17" s="3"/>
      <c r="C17" s="3"/>
    </row>
    <row r="18" spans="1:2" x14ac:dyDescent="0.25">
      <c r="A18" s="4" t="s">
        <v>15</v>
      </c>
      <c r="B18" s="7">
        <v>300</v>
      </c>
    </row>
    <row r="19" spans="1:2" x14ac:dyDescent="0.25">
      <c r="A19" s="4" t="s">
        <v>16</v>
      </c>
      <c r="B19" s="7">
        <v>6000</v>
      </c>
    </row>
    <row r="20" spans="1:2" x14ac:dyDescent="0.25">
      <c r="A20" s="4" t="s">
        <v>17</v>
      </c>
      <c r="B20" s="5">
        <v>36</v>
      </c>
    </row>
    <row r="21" spans="1:2" x14ac:dyDescent="0.25">
      <c r="A21" s="4" t="s">
        <v>18</v>
      </c>
      <c r="B21" s="7">
        <v>150000</v>
      </c>
    </row>
    <row r="22" spans="1:2" x14ac:dyDescent="0.25">
      <c r="A22" s="4" t="s">
        <v>19</v>
      </c>
      <c r="B22" s="7">
        <v>5000</v>
      </c>
    </row>
    <row r="23" spans="1:2" x14ac:dyDescent="0.25">
      <c r="A23" s="4" t="s">
        <v>20</v>
      </c>
      <c r="B23" s="6">
        <v>0.02</v>
      </c>
    </row>
    <row r="25" ht="20" customHeight="1" spans="1:3" x14ac:dyDescent="0.25">
      <c r="A25" s="3" t="s">
        <v>21</v>
      </c>
      <c r="B25" s="3"/>
      <c r="C25" s="3"/>
    </row>
    <row r="26" spans="1:2" x14ac:dyDescent="0.25">
      <c r="A26" s="4" t="s">
        <v>22</v>
      </c>
      <c r="B26" s="9">
        <f>B5*B6</f>
        <v>2000</v>
      </c>
    </row>
    <row r="27" spans="1:2" x14ac:dyDescent="0.25">
      <c r="A27" s="4" t="s">
        <v>23</v>
      </c>
      <c r="B27" s="9">
        <f>B5*B7</f>
        <v>2000</v>
      </c>
    </row>
    <row r="28" spans="1:2" x14ac:dyDescent="0.25">
      <c r="A28" s="4" t="s">
        <v>24</v>
      </c>
      <c r="B28" s="9">
        <f>B27*B9</f>
        <v>1600</v>
      </c>
    </row>
    <row r="29" spans="1:2" x14ac:dyDescent="0.25">
      <c r="A29" s="4" t="s">
        <v>25</v>
      </c>
      <c r="B29" s="10">
        <f>B13*B8+B12*(1-B8)</f>
        <v>1650</v>
      </c>
    </row>
    <row r="31" ht="20" customHeight="1" spans="1:3" x14ac:dyDescent="0.25">
      <c r="A31" s="3" t="s">
        <v>26</v>
      </c>
      <c r="B31" s="3"/>
      <c r="C31" s="3"/>
    </row>
    <row r="32" spans="1:2" x14ac:dyDescent="0.25">
      <c r="A32" s="4" t="s">
        <v>27</v>
      </c>
      <c r="B32" s="10">
        <f>B26*B29</f>
        <v>3300000</v>
      </c>
    </row>
    <row r="33" spans="1:2" x14ac:dyDescent="0.25">
      <c r="A33" s="4" t="s">
        <v>28</v>
      </c>
      <c r="B33" s="10">
        <f>B28*B14</f>
        <v>3184000</v>
      </c>
    </row>
    <row r="34" spans="1:2" x14ac:dyDescent="0.25">
      <c r="A34" s="4" t="s">
        <v>29</v>
      </c>
      <c r="B34" s="10">
        <f>B28*B15</f>
        <v>1104000</v>
      </c>
    </row>
    <row r="35" spans="1:2" x14ac:dyDescent="0.25">
      <c r="A35" s="11" t="s">
        <v>30</v>
      </c>
      <c r="B35" s="12">
        <f>SUM(B32:B34)</f>
        <v>7588000</v>
      </c>
    </row>
    <row r="36" spans="1:2" x14ac:dyDescent="0.25">
      <c r="A36" s="11" t="s">
        <v>31</v>
      </c>
      <c r="B36" s="12">
        <f>B35*12</f>
        <v>91056000</v>
      </c>
    </row>
    <row r="38" ht="20" customHeight="1" spans="1:3" x14ac:dyDescent="0.25">
      <c r="A38" s="3" t="s">
        <v>32</v>
      </c>
      <c r="B38" s="3"/>
      <c r="C38" s="3"/>
    </row>
    <row r="39" spans="1:2" x14ac:dyDescent="0.25">
      <c r="A39" s="4" t="s">
        <v>33</v>
      </c>
      <c r="B39" s="10">
        <f>B28*B18</f>
        <v>480000</v>
      </c>
    </row>
    <row r="40" spans="1:2" x14ac:dyDescent="0.25">
      <c r="A40" s="4" t="s">
        <v>34</v>
      </c>
      <c r="B40" s="10">
        <f>B28*(B19/B20)</f>
        <v>266667</v>
      </c>
    </row>
    <row r="41" spans="1:2" x14ac:dyDescent="0.25">
      <c r="A41" s="4" t="s">
        <v>35</v>
      </c>
      <c r="B41" s="10">
        <f>B21</f>
        <v>150000</v>
      </c>
    </row>
    <row r="42" spans="1:2" x14ac:dyDescent="0.25">
      <c r="A42" s="4" t="s">
        <v>36</v>
      </c>
      <c r="B42" s="10">
        <f>B5*B22</f>
        <v>250000</v>
      </c>
    </row>
    <row r="43" spans="1:2" x14ac:dyDescent="0.25">
      <c r="A43" s="4" t="s">
        <v>37</v>
      </c>
      <c r="B43" s="10">
        <f>B35*B23</f>
        <v>151760</v>
      </c>
    </row>
    <row r="44" spans="1:2" x14ac:dyDescent="0.25">
      <c r="A44" s="11" t="s">
        <v>38</v>
      </c>
      <c r="B44" s="12">
        <f>SUM(B39:B43)</f>
        <v>1298427</v>
      </c>
    </row>
    <row r="46" ht="20" customHeight="1" spans="1:3" x14ac:dyDescent="0.25">
      <c r="A46" s="3" t="s">
        <v>39</v>
      </c>
      <c r="B46" s="3"/>
      <c r="C46" s="3"/>
    </row>
    <row r="47" spans="1:2" x14ac:dyDescent="0.25">
      <c r="A47" s="11" t="s">
        <v>40</v>
      </c>
      <c r="B47" s="12">
        <f>B35-B44</f>
        <v>6289573</v>
      </c>
    </row>
    <row r="48" spans="1:2" x14ac:dyDescent="0.25">
      <c r="A48" s="11" t="s">
        <v>41</v>
      </c>
      <c r="B48" s="13">
        <f>B47/B35</f>
        <v>0.829</v>
      </c>
    </row>
    <row r="49" spans="1:2" x14ac:dyDescent="0.25">
      <c r="A49" s="11" t="s">
        <v>42</v>
      </c>
      <c r="B49" s="12">
        <f>B47*12</f>
        <v>75474876</v>
      </c>
    </row>
    <row r="51" ht="20" customHeight="1" spans="1:3" x14ac:dyDescent="0.25">
      <c r="A51" s="3" t="s">
        <v>43</v>
      </c>
      <c r="B51" s="3"/>
      <c r="C51" s="3"/>
    </row>
    <row r="52" spans="1:2" x14ac:dyDescent="0.25">
      <c r="A52" s="4" t="s">
        <v>44</v>
      </c>
      <c r="B52" s="10">
        <f>B35/B5</f>
        <v>151760</v>
      </c>
    </row>
    <row r="53" spans="1:2" x14ac:dyDescent="0.25">
      <c r="A53" s="4" t="s">
        <v>45</v>
      </c>
      <c r="B53" s="10">
        <f>B47/B5</f>
        <v>125791</v>
      </c>
    </row>
    <row r="55" spans="1:3" x14ac:dyDescent="0.25">
      <c r="A55" s="14" t="s">
        <v>46</v>
      </c>
      <c r="B55" s="14"/>
      <c r="C55" s="14"/>
    </row>
    <row r="56" spans="1:3" x14ac:dyDescent="0.25">
      <c r="A56" s="14"/>
      <c r="B56" s="14"/>
      <c r="C56" s="14"/>
    </row>
  </sheetData>
  <mergeCells count="11">
    <mergeCell ref="A1:C1"/>
    <mergeCell ref="A2:C2"/>
    <mergeCell ref="A4:C4"/>
    <mergeCell ref="A11:C11"/>
    <mergeCell ref="A17:C17"/>
    <mergeCell ref="A25:C25"/>
    <mergeCell ref="A31:C31"/>
    <mergeCell ref="A38:C38"/>
    <mergeCell ref="A46:C46"/>
    <mergeCell ref="A51:C51"/>
    <mergeCell ref="A55:C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Tekjulíkan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Tímaverk</dc:creator>
  <dc:title/>
  <dc:subject/>
  <dc:description/>
  <cp:keywords/>
  <cp:category/>
  <cp:lastModifiedBy>Unknown</cp:lastModifiedBy>
  <dcterms:created xsi:type="dcterms:W3CDTF">2026-07-05T21:31:07Z</dcterms:created>
  <dcterms:modified xsi:type="dcterms:W3CDTF">2026-07-05T21:31:07Z</dcterms:modified>
</cp:coreProperties>
</file>